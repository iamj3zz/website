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èle budget FR" sheetId="1" state="visible" r:id="rId1"/>
    <sheet name="Modèle planning - FR"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dd/MM/yyyy"/>
    <numFmt numFmtId="166" formatCode="yyyy-mm-dd"/>
  </numFmts>
  <fonts count="12">
    <font>
      <name val="Arial"/>
      <color rgb="FF000000"/>
      <sz val="10"/>
      <scheme val="minor"/>
    </font>
    <font>
      <name val="Arial"/>
      <color theme="1"/>
    </font>
    <font>
      <name val="Arial"/>
      <b val="1"/>
      <color theme="1"/>
    </font>
    <font>
      <color rgb="FFA4C2F4"/>
      <u val="single"/>
    </font>
    <font>
      <name val="Arial"/>
      <b val="1"/>
      <color theme="0"/>
    </font>
    <font>
      <name val="Arial"/>
      <b val="1"/>
      <color rgb="FFFFFFFF"/>
    </font>
    <font/>
    <font>
      <name val="Arial"/>
      <color rgb="FF666666"/>
    </font>
    <font>
      <name val="Arial"/>
      <color rgb="FFCCCCCC"/>
    </font>
    <font>
      <name val="Arial"/>
      <i val="1"/>
      <color rgb="FF999999"/>
    </font>
    <font>
      <b val="1"/>
    </font>
    <font>
      <name val="Arial"/>
      <color rgb="FF000000"/>
    </font>
  </fonts>
  <fills count="7">
    <fill>
      <patternFill/>
    </fill>
    <fill>
      <patternFill patternType="lightGray"/>
    </fill>
    <fill>
      <patternFill patternType="solid">
        <fgColor rgb="FFEFEFEF"/>
        <bgColor rgb="FFEFEFEF"/>
      </patternFill>
    </fill>
    <fill>
      <patternFill patternType="solid">
        <fgColor theme="1"/>
        <bgColor theme="1"/>
      </patternFill>
    </fill>
    <fill>
      <patternFill patternType="solid">
        <fgColor rgb="FF00FFFF"/>
        <bgColor rgb="FF00FFFF"/>
      </patternFill>
    </fill>
    <fill>
      <patternFill patternType="solid">
        <fgColor rgb="FFCCCCCC"/>
        <bgColor rgb="FFCCCCCC"/>
      </patternFill>
    </fill>
    <fill>
      <patternFill patternType="solid">
        <fgColor rgb="FF000000"/>
        <bgColor rgb="FF000000"/>
      </patternFill>
    </fill>
  </fills>
  <borders count="16">
    <border/>
    <border>
      <left style="thin">
        <color rgb="FF999999"/>
      </left>
      <right style="thin">
        <color rgb="FF999999"/>
      </right>
      <top style="thin">
        <color rgb="FF999999"/>
      </top>
      <bottom style="thin">
        <color rgb="FF999999"/>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D9D9D9"/>
      </left>
      <right style="thin">
        <color rgb="FFD9D9D9"/>
      </right>
      <top style="thin">
        <color rgb="FFD9D9D9"/>
      </top>
      <bottom style="thin">
        <color rgb="FFD9D9D9"/>
      </bottom>
    </border>
    <border>
      <bottom style="thin">
        <color rgb="FF999999"/>
      </bottom>
    </border>
    <border>
      <right style="thin">
        <color rgb="FF999999"/>
      </right>
    </border>
    <border>
      <right style="thin">
        <color rgb="FF999999"/>
      </right>
      <bottom style="thin">
        <color rgb="FF999999"/>
      </bottom>
    </border>
    <border>
      <left style="thin">
        <color rgb="FFFFFFFF"/>
      </left>
      <right style="thin">
        <color rgb="FFFFFFFF"/>
      </right>
      <top style="thin">
        <color rgb="FFFFFFFF"/>
      </top>
      <bottom style="thin">
        <color rgb="FFFFFFFF"/>
      </bottom>
    </border>
    <border>
      <left style="thin">
        <color rgb="FFFFFFFF"/>
      </left>
    </border>
    <border>
      <left style="thin">
        <color rgb="FFFFFFFF"/>
      </left>
      <right style="thin">
        <color rgb="FFFFFFFF"/>
      </right>
    </border>
    <border>
      <top style="thin">
        <color rgb="FFFFFFFF"/>
      </top>
    </border>
    <border>
      <right style="thin">
        <color rgb="FFFFFFFF"/>
      </right>
      <top style="thin">
        <color rgb="FFFFFFFF"/>
      </top>
    </border>
  </borders>
  <cellStyleXfs count="1">
    <xf numFmtId="0" fontId="0" fillId="0" borderId="0"/>
  </cellStyleXfs>
  <cellXfs count="43">
    <xf numFmtId="0" fontId="0" fillId="0" borderId="0" applyAlignment="1" pivotButton="0" quotePrefix="0" xfId="0">
      <alignment vertical="bottom"/>
    </xf>
    <xf numFmtId="0" fontId="1" fillId="0" borderId="0" pivotButton="0" quotePrefix="0" xfId="0"/>
    <xf numFmtId="0" fontId="2" fillId="2" borderId="1" pivotButton="0" quotePrefix="0" xfId="0"/>
    <xf numFmtId="0" fontId="3" fillId="0" borderId="0" pivotButton="0" quotePrefix="0" xfId="0"/>
    <xf numFmtId="0" fontId="4" fillId="3" borderId="0"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0" fontId="5" fillId="3" borderId="3" applyAlignment="1" pivotButton="0" quotePrefix="0" xfId="0">
      <alignment horizontal="center" vertical="center"/>
    </xf>
    <xf numFmtId="0" fontId="6" fillId="0" borderId="4" pivotButton="0" quotePrefix="0" xfId="0"/>
    <xf numFmtId="0" fontId="6" fillId="0" borderId="5" pivotButton="0" quotePrefix="0" xfId="0"/>
    <xf numFmtId="0" fontId="2" fillId="0" borderId="0" pivotButton="0" quotePrefix="0" xfId="0"/>
    <xf numFmtId="0" fontId="6" fillId="0" borderId="6" pivotButton="0" quotePrefix="0" xfId="0"/>
    <xf numFmtId="0" fontId="2" fillId="4" borderId="0" pivotButton="0" quotePrefix="0" xfId="0"/>
    <xf numFmtId="164" fontId="2" fillId="4" borderId="0" pivotButton="0" quotePrefix="0" xfId="0"/>
    <xf numFmtId="0" fontId="2" fillId="5" borderId="7" pivotButton="0" quotePrefix="0" xfId="0"/>
    <xf numFmtId="164" fontId="2" fillId="5" borderId="7" pivotButton="0" quotePrefix="0" xfId="0"/>
    <xf numFmtId="0" fontId="7" fillId="0" borderId="7" pivotButton="0" quotePrefix="0" xfId="0"/>
    <xf numFmtId="164" fontId="7" fillId="0" borderId="7" pivotButton="0" quotePrefix="0" xfId="0"/>
    <xf numFmtId="0" fontId="2" fillId="0" borderId="0" applyAlignment="1" pivotButton="0" quotePrefix="0" xfId="0">
      <alignment vertical="bottom" wrapText="1"/>
    </xf>
    <xf numFmtId="0" fontId="1" fillId="0" borderId="0" applyAlignment="1" pivotButton="0" quotePrefix="0" xfId="0">
      <alignment wrapText="1"/>
    </xf>
    <xf numFmtId="0" fontId="1" fillId="0" borderId="0" applyAlignment="1" pivotButton="0" quotePrefix="0" xfId="0">
      <alignment vertical="bottom"/>
    </xf>
    <xf numFmtId="0" fontId="1" fillId="6" borderId="0" applyAlignment="1" pivotButton="0" quotePrefix="0" xfId="0">
      <alignment vertical="bottom"/>
    </xf>
    <xf numFmtId="0" fontId="5" fillId="6" borderId="8" applyAlignment="1" pivotButton="0" quotePrefix="0" xfId="0">
      <alignment vertical="bottom"/>
    </xf>
    <xf numFmtId="0" fontId="5" fillId="6" borderId="9" applyAlignment="1" pivotButton="0" quotePrefix="0" xfId="0">
      <alignment vertical="bottom"/>
    </xf>
    <xf numFmtId="165" fontId="8" fillId="0" borderId="10" applyAlignment="1" pivotButton="0" quotePrefix="0" xfId="0">
      <alignment horizontal="right" vertical="bottom"/>
    </xf>
    <xf numFmtId="0" fontId="9" fillId="0" borderId="10" applyAlignment="1" pivotButton="0" quotePrefix="0" xfId="0">
      <alignment vertical="bottom"/>
    </xf>
    <xf numFmtId="0" fontId="1" fillId="0" borderId="10" applyAlignment="1" pivotButton="0" quotePrefix="0" xfId="0">
      <alignment vertical="bottom"/>
    </xf>
    <xf numFmtId="0" fontId="0" fillId="0" borderId="0" pivotButton="0" quotePrefix="0" xfId="0"/>
    <xf numFmtId="166" fontId="0" fillId="0" borderId="0" pivotButton="0" quotePrefix="0" xfId="0"/>
    <xf numFmtId="0" fontId="0" fillId="0" borderId="0" applyAlignment="1" pivotButton="0" quotePrefix="0" xfId="0">
      <alignment vertical="top" wrapText="1"/>
    </xf>
    <xf numFmtId="0" fontId="4" fillId="3" borderId="11" applyAlignment="1" pivotButton="0" quotePrefix="0" xfId="0">
      <alignment horizontal="center" vertical="center"/>
    </xf>
    <xf numFmtId="0" fontId="5" fillId="3" borderId="11" applyAlignment="1" pivotButton="0" quotePrefix="0" xfId="0">
      <alignment horizontal="center" vertical="center"/>
    </xf>
    <xf numFmtId="0" fontId="0" fillId="0" borderId="4" pivotButton="0" quotePrefix="0" xfId="0"/>
    <xf numFmtId="0" fontId="0" fillId="0" borderId="5" pivotButton="0" quotePrefix="0" xfId="0"/>
    <xf numFmtId="0" fontId="0" fillId="0" borderId="6" pivotButton="0" quotePrefix="0" xfId="0"/>
    <xf numFmtId="0" fontId="5" fillId="3" borderId="2" applyAlignment="1" pivotButton="0" quotePrefix="0" xfId="0">
      <alignment vertical="top" wrapText="1"/>
    </xf>
    <xf numFmtId="0" fontId="7" fillId="0" borderId="7" applyAlignment="1" pivotButton="0" quotePrefix="0" xfId="0">
      <alignment vertical="top" wrapText="1"/>
    </xf>
    <xf numFmtId="0" fontId="10" fillId="0" borderId="0" applyAlignment="1" pivotButton="0" quotePrefix="0" xfId="0">
      <alignment vertical="top" wrapText="1"/>
    </xf>
    <xf numFmtId="164" fontId="10" fillId="0" borderId="0" pivotButton="0" quotePrefix="0" xfId="0"/>
    <xf numFmtId="164" fontId="0" fillId="0" borderId="0" pivotButton="0" quotePrefix="0" xfId="0"/>
    <xf numFmtId="0" fontId="5" fillId="6" borderId="9" applyAlignment="1" pivotButton="0" quotePrefix="0" xfId="0">
      <alignment vertical="top" wrapText="1"/>
    </xf>
    <xf numFmtId="166" fontId="11" fillId="0" borderId="10" applyAlignment="1" pivotButton="0" quotePrefix="0" xfId="0">
      <alignment horizontal="right" vertical="bottom"/>
    </xf>
    <xf numFmtId="0" fontId="11" fillId="0" borderId="10" applyAlignment="1" pivotButton="0" quotePrefix="0" xfId="0">
      <alignment vertical="top" wrapText="1"/>
    </xf>
  </cellXfs>
  <cellStyles count="1">
    <cellStyle name="Normal" xfId="0" builtinId="0"/>
  </cellStyles>
  <dxfs count="1">
    <dxf>
      <font/>
      <fill>
        <patternFill patternType="solid">
          <fgColor rgb="FFFFFF00"/>
          <bgColor rgb="FFFFFF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xe.com/" TargetMode="External" Id="rId1" /></Relationships>
</file>

<file path=xl/worksheets/sheet1.xml><?xml version="1.0" encoding="utf-8"?>
<worksheet xmlns="http://schemas.openxmlformats.org/spreadsheetml/2006/main">
  <sheetPr>
    <outlinePr summaryBelow="0" summaryRight="0"/>
    <pageSetUpPr fitToPage="1"/>
  </sheetPr>
  <dimension ref="A1:AC72"/>
  <sheetViews>
    <sheetView workbookViewId="0">
      <selection activeCell="A1" sqref="A1"/>
    </sheetView>
  </sheetViews>
  <sheetFormatPr baseColWidth="8" defaultColWidth="12.63" defaultRowHeight="15" customHeight="1"/>
  <cols>
    <col width="5.13" customWidth="1" style="27" min="1" max="1"/>
    <col width="95" customWidth="1" style="27" min="2" max="2"/>
    <col width="15" customWidth="1" style="27" min="3" max="16"/>
    <col width="23" customWidth="1" style="27" min="4" max="4"/>
    <col width="23" customWidth="1" style="27" min="5" max="5"/>
    <col width="19" customWidth="1" style="27" min="6" max="6"/>
    <col width="19" customWidth="1" style="27" min="7" max="7"/>
    <col width="19" customWidth="1" style="27" min="8" max="8"/>
    <col width="19" customWidth="1" style="27" min="9" max="9"/>
  </cols>
  <sheetData>
    <row r="1" ht="15.75" customHeight="1" s="27">
      <c r="A1" s="1" t="n"/>
      <c r="B1" s="2" t="inlineStr">
        <is>
          <t>Date de dépôt</t>
        </is>
      </c>
      <c r="C1" s="28" t="n">
        <v>46313</v>
      </c>
    </row>
    <row r="2" ht="15.75" customHeight="1" s="27">
      <c r="A2" s="1" t="n"/>
      <c r="B2" s="2" t="inlineStr">
        <is>
          <t>Nom du projet</t>
        </is>
      </c>
      <c r="C2" t="inlineStr">
        <is>
          <t>Racines &amp; Résonances</t>
        </is>
      </c>
    </row>
    <row r="3" ht="15.75" customHeight="1" s="27">
      <c r="A3" s="1" t="n"/>
      <c r="B3" s="2" t="inlineStr">
        <is>
          <t>Nom d'artiste</t>
        </is>
      </c>
      <c r="C3" t="inlineStr">
        <is>
          <t>J3ZZ (Jérôme Li-Thiao-Té)</t>
        </is>
      </c>
    </row>
    <row r="4" ht="15.75" customHeight="1" s="27">
      <c r="A4" s="1" t="n"/>
      <c r="B4" s="2" t="inlineStr">
        <is>
          <t>Contact</t>
        </is>
      </c>
      <c r="C4" t="inlineStr">
        <is>
          <t>contact@j3zz.com</t>
        </is>
      </c>
    </row>
    <row r="5" ht="240" customHeight="1" s="27">
      <c r="A5" s="1" t="n"/>
      <c r="B5" s="2" t="inlineStr">
        <is>
          <t>Notes</t>
        </is>
      </c>
      <c r="C5" s="29" t="inlineStr">
        <is>
          <t>Équipe : 1 artiste porteur du projet + 1 collaborateur·rice à l'image engagé·e (Johann Baron Lanteigne ou un·e autre artiste nouveaux médias du Québec), qui porte aussi un regard extérieur sur l'ensemble du spectacle. Résidence : un seul voyage La Réunion ↔ Québec (~2 mois), cinq semaines sous le dôme (le maximum de l'appel) en deux périodes à Montréal (2 puis 3 semaines), ~3 semaines entre les deux au Québec, hors du dôme. Présentation publique : bloc « Présentation » chiffré pour un second voyage ; si la SAT place la présentation juste après la période 2, ce bloc se réduit à l'hébergement et à la scénographie. Scénographie : trois fougères arborescentes reconstruites, tours de truss en aluminium (~3 m) et couronnes de fougères vivantes achetées sur place puis données ; rien n'est transporté depuis La Réunion. Pendant la résidence, les fougères travaillent au sol (une tour essayée une journée en période 1) ; les trois tours sont louées en fin de période 2 (deux jours de répétition générale et une présentation privée captée, pour l'archive et une bande-annonce, distincte de la présentation publique), puis pour la présentation publique (lignes supprimées si la SAT prête du truss). Production sonore : avant le voyage, dans le studio du Conservatoire à rayonnement régional de La Réunion mis à disposition de l'artiste (valorisé, à confirmer), l'artiste enregistre, produit et mixe lui-même les sons mono et stéréo qui alimentent la composition spatiale (les racines réunionnaises de la pièce sont enregistrées sur l'île) ; mastering par un·e ingénieur·e, à distance ; entre les deux périodes, une courte session éventuelle à Montréal ; la spatialisation est composée par l'artiste dans SpatGRIS avec l'équipe audio de la SAT (un accès au studio son de la SAT réduirait ces lignes). Non inclus, selon les consignes de la SAT : cachets, usage du dôme, soutien de la SAT. Subventions : PAS ENCORE DEMANDÉES, demandes prévues, à déposer après la sélection avec les lettres d'appui et d'invitation de la SAT. Subvention A = Institut français, programme MIRA (mobilité de recherche artistique à l'international, ~4 000 €, dépôt février 2027) : billet, bagages, part du logement. Subvention B = DAC de La Réunion, aide individuelle à la création (AIC, arts visuels, jusqu'à 8 000 €), pour la part visuelle de la création : collaboration à l'image, scénographie de résidence (fougères, truss, fixations, technicien·ne de scène), captation de la présentation privée (documentation), licence TouchDesigner Commercial. Ni la production sonore ni la présentation publique (diffusion, exclue de l'AIC) n'y sont imputées. Aides à la diffusion à demander une fois les dates de présentation connues. L'association ARTS RIGHTS (loi 1901), qui soutient la pratique de l'artiste, porte les demandes réservées aux structures (FEAC, sociétés civiles) et emploie les chanteur·euse·s. Conversion : 1 € ≈ 1,61 $ CA (taux de juillet à septembre 2026). Prix du matériel relevés en ligne (Thomann et revendeurs européens, octobre 2026). Valorisations : matériel de l'artiste au coût de location équivalent (≈ 20 % de la valeur à neuf pour ~2 mois) ; hébergement chez un proche au Québec. Hébergement à Montréal inscrit au coût d'une location meublée ; je chercherai aussi un accueil auprès de la communauté artistique. Lignes « éventuel » : engagées seulement si nécessaire, selon le déroulement du projet.</t>
        </is>
      </c>
    </row>
    <row r="6" ht="15.75" customHeight="1" s="27">
      <c r="A6" s="1" t="n"/>
      <c r="B6" s="2" t="inlineStr">
        <is>
          <t>Monnaie</t>
        </is>
      </c>
      <c r="C6" s="1" t="inlineStr">
        <is>
          <t>CAD (dollar canadien)</t>
        </is>
      </c>
      <c r="D6" s="3" t="inlineStr">
        <is>
          <t>(conversion : https://www.xe.com )</t>
        </is>
      </c>
    </row>
    <row r="7" ht="15.75" customHeight="1" s="27">
      <c r="A7" s="1" t="n"/>
      <c r="B7" s="1" t="n"/>
    </row>
    <row r="8" ht="15.75" customHeight="1" s="27">
      <c r="A8" s="4" t="n"/>
      <c r="B8" s="30" t="inlineStr">
        <is>
          <t>Poste</t>
        </is>
      </c>
      <c r="C8" s="31" t="inlineStr">
        <is>
          <t>Dépense</t>
        </is>
      </c>
      <c r="D8" s="31" t="inlineStr">
        <is>
          <t>Apport</t>
        </is>
      </c>
      <c r="E8" s="32" t="n"/>
      <c r="F8" s="32" t="n"/>
      <c r="G8" s="32" t="n"/>
      <c r="H8" s="33" t="n"/>
      <c r="I8" s="31" t="inlineStr">
        <is>
          <t>À financer</t>
        </is>
      </c>
      <c r="J8" s="10" t="n"/>
      <c r="K8" s="10" t="n"/>
      <c r="L8" s="10" t="n"/>
      <c r="M8" s="10" t="n"/>
      <c r="N8" s="10" t="n"/>
      <c r="O8" s="10" t="n"/>
      <c r="P8" s="10" t="n"/>
      <c r="Q8" s="10" t="n"/>
      <c r="R8" s="10" t="n"/>
      <c r="S8" s="10" t="n"/>
      <c r="T8" s="10" t="n"/>
      <c r="U8" s="10" t="n"/>
      <c r="V8" s="10" t="n"/>
      <c r="W8" s="10" t="n"/>
      <c r="X8" s="10" t="n"/>
      <c r="Y8" s="10" t="n"/>
      <c r="Z8" s="10" t="n"/>
      <c r="AA8" s="10" t="n"/>
      <c r="AB8" s="10" t="n"/>
      <c r="AC8" s="10" t="n"/>
    </row>
    <row r="9" ht="66" customHeight="1" s="27">
      <c r="A9" s="4" t="n"/>
      <c r="B9" s="34" t="n"/>
      <c r="C9" s="34" t="n"/>
      <c r="D9" s="6" t="inlineStr">
        <is>
          <t>Contribution artiste</t>
        </is>
      </c>
      <c r="E9" s="6" t="inlineStr">
        <is>
          <t>Contribution tierce</t>
        </is>
      </c>
      <c r="F9" s="35" t="inlineStr">
        <is>
          <t>Subvention A* (à demander après la sélection) : Institut français, MIRA</t>
        </is>
      </c>
      <c r="G9" s="35" t="inlineStr">
        <is>
          <t>Subvention B* (à demander après la sélection) : DAC Réunion, AIC</t>
        </is>
      </c>
      <c r="H9" s="6" t="inlineStr">
        <is>
          <t>Total</t>
        </is>
      </c>
      <c r="I9" s="34" t="n"/>
      <c r="J9" s="10" t="n"/>
      <c r="K9" s="10" t="n"/>
      <c r="L9" s="10" t="n"/>
      <c r="M9" s="10" t="n"/>
      <c r="N9" s="10" t="n"/>
      <c r="O9" s="10" t="n"/>
      <c r="P9" s="10" t="n"/>
      <c r="Q9" s="10" t="n"/>
      <c r="R9" s="10" t="n"/>
      <c r="S9" s="10" t="n"/>
      <c r="T9" s="10" t="n"/>
      <c r="U9" s="10" t="n"/>
      <c r="V9" s="10" t="n"/>
      <c r="W9" s="10" t="n"/>
      <c r="X9" s="10" t="n"/>
      <c r="Y9" s="10" t="n"/>
      <c r="Z9" s="10" t="n"/>
      <c r="AA9" s="10" t="n"/>
      <c r="AB9" s="10" t="n"/>
      <c r="AC9" s="10" t="n"/>
    </row>
    <row r="10" ht="15.75" customHeight="1" s="27">
      <c r="A10" s="12" t="n"/>
      <c r="B10" s="12" t="inlineStr">
        <is>
          <t>TOTAL</t>
        </is>
      </c>
      <c r="C10" s="13">
        <f>sum(C11,C24,C37,C50)</f>
        <v/>
      </c>
      <c r="D10" s="13">
        <f>sum(D11,D24,D37,D50)</f>
        <v/>
      </c>
      <c r="E10" s="13">
        <f>sum(E11,E24,E37,E50)</f>
        <v/>
      </c>
      <c r="F10" s="13">
        <f>sum(F11,F24,F37,F50)</f>
        <v/>
      </c>
      <c r="G10" s="13">
        <f>sum(G11,G24,G37,G50)</f>
        <v/>
      </c>
      <c r="H10" s="13">
        <f>sum(H11,H24,H37,H50)</f>
        <v/>
      </c>
      <c r="I10" s="13">
        <f>sum(I11,I24,I37,I50)</f>
        <v/>
      </c>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row>
    <row r="11" ht="15.75" customHeight="1" s="27">
      <c r="A11" s="14" t="n"/>
      <c r="B11" s="14" t="inlineStr">
        <is>
          <t>Temps de travail</t>
        </is>
      </c>
      <c r="C11" s="15">
        <f>sum(C12:C23)</f>
        <v/>
      </c>
      <c r="D11" s="15">
        <f>sum(D12:D23)</f>
        <v/>
      </c>
      <c r="E11" s="15">
        <f>sum(E12:E23)</f>
        <v/>
      </c>
      <c r="F11" s="15">
        <f>sum(F12:F23)</f>
        <v/>
      </c>
      <c r="G11" s="15">
        <f>sum(G12:G23)</f>
        <v/>
      </c>
      <c r="H11" s="15">
        <f>sum(H12:H23)</f>
        <v/>
      </c>
      <c r="I11" s="15">
        <f>sum(I12:I23)</f>
        <v/>
      </c>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row>
    <row r="12" ht="70" customHeight="1" s="27">
      <c r="A12" s="16" t="n"/>
      <c r="B12" s="36" t="inlineStr">
        <is>
          <t>Collaborateur·rice à l'image et regard extérieur, engagé·e comme travailleur·euse autonome (Johann Baron Lanteigne ou un·e autre artiste nouveaux médias du Québec) : développement des mondes visuels en volume avec l'artiste et regard extérieur sur l'ensemble du spectacle, surtout pendant les périodes sous le dôme, avec quelques journées de préparation à distance : 10 jours × 400 $</t>
        </is>
      </c>
      <c r="C12" s="17" t="n">
        <v>4000</v>
      </c>
      <c r="D12" s="17" t="n"/>
      <c r="E12" s="17" t="n"/>
      <c r="F12" s="17" t="n"/>
      <c r="G12" s="17" t="n">
        <v>4000</v>
      </c>
      <c r="H12" s="17">
        <f>sum(D12:G12)</f>
        <v/>
      </c>
      <c r="I12" s="17">
        <f>C12-H12</f>
        <v/>
      </c>
    </row>
    <row r="13" ht="42" customHeight="1" s="27">
      <c r="A13" s="16" t="n"/>
      <c r="B13" s="36" t="inlineStr">
        <is>
          <t>Valorisation : studio du Conservatoire à rayonnement régional de La Réunion, mis à disposition de l'artiste avant le voyage (à confirmer) : 4 jours × ~300 € (~480 $), prix d'une location de studio sans ingénieur·e</t>
        </is>
      </c>
      <c r="C13" s="17" t="n">
        <v>1920</v>
      </c>
      <c r="D13" s="17" t="n"/>
      <c r="E13" s="17" t="n">
        <v>1920</v>
      </c>
      <c r="F13" s="17" t="n"/>
      <c r="G13" s="17" t="n"/>
      <c r="H13" s="17">
        <f>sum(D13:G13)</f>
        <v/>
      </c>
      <c r="I13" s="17">
        <f>C13-H13</f>
        <v/>
      </c>
    </row>
    <row r="14" ht="56" customHeight="1" s="27">
      <c r="A14" s="16" t="n"/>
      <c r="B14" s="36" t="inlineStr">
        <is>
          <t>Valorisation : travail d'ingénieur du son réalisé par l'artiste lui-même, au studio du Conservatoire, avant le voyage : prise de son et production des sons mono et stéréo de la composition spatiale (voix, violon, enregistrements de terrain de l'île… ; percussions maloya déjà enregistrées), 4 jours × ~200 € (~320 $)</t>
        </is>
      </c>
      <c r="C14" s="17" t="n">
        <v>1280</v>
      </c>
      <c r="D14" s="17" t="n">
        <v>1280</v>
      </c>
      <c r="E14" s="17" t="n"/>
      <c r="F14" s="17" t="n"/>
      <c r="G14" s="17" t="n"/>
      <c r="H14" s="17">
        <f>sum(D14:G14)</f>
        <v/>
      </c>
      <c r="I14" s="17">
        <f>C14-H14</f>
        <v/>
      </c>
    </row>
    <row r="15" ht="70" customHeight="1" s="27">
      <c r="A15" s="16" t="n"/>
      <c r="B15" s="36" t="inlineStr">
        <is>
          <t>Valorisation : travail d'ingénieur de mixing réalisé par l'artiste lui-même, avant le voyage : mixing des sons mono et stéréo de la composition spatiale (cohérence de timbre, de dynamique et de niveau entre les sources avant leur placement dans SpatGRIS), 5 pièces × ~600 $. La spatialisation est aussi composée par l'artiste : seul, en amont (SpatGRIS en binaural) et entre les deux périodes, et sous le dôme avec l'équipe audio de la SAT</t>
        </is>
      </c>
      <c r="C15" s="17" t="n">
        <v>3000</v>
      </c>
      <c r="D15" s="17" t="n">
        <v>3000</v>
      </c>
      <c r="E15" s="17" t="n"/>
      <c r="F15" s="17" t="n"/>
      <c r="G15" s="17" t="n"/>
      <c r="H15" s="17">
        <f>sum(D15:G15)</f>
        <v/>
      </c>
      <c r="I15" s="17">
        <f>C15-H15</f>
        <v/>
      </c>
    </row>
    <row r="16" ht="42" customHeight="1" s="27">
      <c r="A16" s="16" t="n"/>
      <c r="B16" s="36" t="inlineStr">
        <is>
          <t>Production sonore : chanteur·euse·s enregistré·e·s au studio à La Réunion (voix des prières de la pièce 5, à réenregistrer en voix séparées pour le cercle) : 4 voix × ~250 € (~400 $) — éventuel</t>
        </is>
      </c>
      <c r="C16" s="17" t="n">
        <v>1600</v>
      </c>
      <c r="D16" s="17" t="n"/>
      <c r="E16" s="17" t="n"/>
      <c r="F16" s="17" t="n"/>
      <c r="G16" s="17" t="n"/>
      <c r="H16" s="17">
        <f>sum(D16:G16)</f>
        <v/>
      </c>
      <c r="I16" s="17">
        <f>C16-H16</f>
        <v/>
      </c>
    </row>
    <row r="17" ht="56" customHeight="1" s="27">
      <c r="A17" s="16" t="n"/>
      <c r="B17" s="36" t="inlineStr">
        <is>
          <t>Captation de la présentation privée (1 jour) — vidéastes : deux opérateur·rice·s caméra, l'un·e en fisheye pour une captation au format du dôme, l'autre en plans d'écran (interprète, plantes, public), 2 × ~700 $ ; peut être pris en charge en tout ou partie par le soutien de la SAT à la documentation photo et vidéo</t>
        </is>
      </c>
      <c r="C17" s="17" t="n">
        <v>1400</v>
      </c>
      <c r="D17" s="17" t="n"/>
      <c r="E17" s="17" t="n"/>
      <c r="F17" s="17" t="n"/>
      <c r="G17" s="17" t="n">
        <v>1400</v>
      </c>
      <c r="H17" s="17">
        <f>sum(D17:G17)</f>
        <v/>
      </c>
      <c r="I17" s="17">
        <f>C17-H17</f>
        <v/>
      </c>
    </row>
    <row r="18" ht="42" customHeight="1" s="27">
      <c r="A18" s="16" t="n"/>
      <c r="B18" s="36" t="inlineStr">
        <is>
          <t>Captation de la présentation privée (1 jour) — preneur·se de son : enregistrement multipiste des sources séparées et prise de son d'ambiance de la salle, ~600 $ ; l'enregistrement multipiste peut aussi se faire depuis le système audio du dôme, avec l'équipe audio de la SAT</t>
        </is>
      </c>
      <c r="C18" s="17" t="n">
        <v>600</v>
      </c>
      <c r="D18" s="17" t="n"/>
      <c r="E18" s="17" t="n"/>
      <c r="F18" s="17" t="n"/>
      <c r="G18" s="17" t="n"/>
      <c r="H18" s="17">
        <f>sum(D18:G18)</f>
        <v/>
      </c>
      <c r="I18" s="17">
        <f>C18-H18</f>
        <v/>
      </c>
    </row>
    <row r="19" ht="42" customHeight="1" s="27">
      <c r="A19" s="16" t="n"/>
      <c r="B19" s="36" t="inlineStr">
        <is>
          <t>Captation de la présentation privée (1 jour) — photographe : archive, presse, dossiers et demandes de financement, ~500 $ ; peut être pris en charge par le soutien de la SAT à la documentation</t>
        </is>
      </c>
      <c r="C19" s="17" t="n">
        <v>500</v>
      </c>
      <c r="D19" s="17" t="n"/>
      <c r="E19" s="17" t="n"/>
      <c r="F19" s="17" t="n"/>
      <c r="G19" s="17" t="n"/>
      <c r="H19" s="17">
        <f>sum(D19:G19)</f>
        <v/>
      </c>
      <c r="I19" s="17">
        <f>C19-H19</f>
        <v/>
      </c>
    </row>
    <row r="20" ht="28" customHeight="1" s="27">
      <c r="A20" s="16" t="n"/>
      <c r="B20" s="36" t="inlineStr">
        <is>
          <t>Monteur·euse : montage d'une bande-annonce (version écran et version fisheye pour dôme) à partir de la captation, avec mixage du son, ~3 jours × ~400 $</t>
        </is>
      </c>
      <c r="C20" s="17" t="n">
        <v>1200</v>
      </c>
      <c r="D20" s="17" t="n"/>
      <c r="E20" s="17" t="n"/>
      <c r="F20" s="17" t="n"/>
      <c r="G20" s="17" t="n"/>
      <c r="H20" s="17">
        <f>sum(D20:G20)</f>
        <v/>
      </c>
      <c r="I20" s="17">
        <f>C20-H20</f>
        <v/>
      </c>
    </row>
    <row r="21" ht="42" customHeight="1" s="27">
      <c r="A21" s="16" t="n"/>
      <c r="B21" s="36" t="inlineStr">
        <is>
          <t>Technicien·ne de scène : fabrication des couronnes de fougères et de leurs fixations sur les tours de truss (berceaux, sangles de sécurité, soucoupes, lest des embases), d'après la conception de l'artiste, et montage des tours en fin de période 2 : ~3 jours × ~300 $</t>
        </is>
      </c>
      <c r="C21" s="17" t="n">
        <v>900</v>
      </c>
      <c r="D21" s="17" t="n"/>
      <c r="E21" s="17" t="n"/>
      <c r="F21" s="17" t="n"/>
      <c r="G21" s="17" t="n">
        <v>900</v>
      </c>
      <c r="H21" s="17">
        <f>sum(D21:G21)</f>
        <v/>
      </c>
      <c r="I21" s="17">
        <f>C21-H21</f>
        <v/>
      </c>
    </row>
    <row r="22" ht="42" customHeight="1" s="27">
      <c r="A22" s="16" t="n"/>
      <c r="B22" s="36" t="inlineStr">
        <is>
          <t>Production sonore : courte session de studio à Montréal entre les deux périodes, seulement pour ce que la période 1 révèle manquer (ou studio son de la SAT s'il est disponible) : 1 à 2 jours × ~800 $ — éventuel</t>
        </is>
      </c>
      <c r="C22" s="17" t="n">
        <v>1600</v>
      </c>
      <c r="D22" s="17" t="n"/>
      <c r="E22" s="17" t="n"/>
      <c r="F22" s="17" t="n"/>
      <c r="G22" s="17" t="n"/>
      <c r="H22" s="17">
        <f>sum(D22:G22)</f>
        <v/>
      </c>
      <c r="I22" s="17">
        <f>C22-H22</f>
        <v/>
      </c>
    </row>
    <row r="23" ht="28" customHeight="1" s="27">
      <c r="A23" s="16" t="n"/>
      <c r="B23" s="36" t="inlineStr">
        <is>
          <t>Production sonore : mastering des sons mono et stéréo de la composition spatiale par un·e ingénieur·e de mastering (oreille extérieure), à distance, avant le voyage : 5 pièces × ~120 $</t>
        </is>
      </c>
      <c r="C23" s="17" t="n">
        <v>600</v>
      </c>
      <c r="D23" s="17" t="n"/>
      <c r="E23" s="17" t="n"/>
      <c r="F23" s="17" t="n"/>
      <c r="G23" s="17" t="n"/>
      <c r="H23" s="17">
        <f>sum(D23:G23)</f>
        <v/>
      </c>
      <c r="I23" s="17">
        <f>C23-H23</f>
        <v/>
      </c>
    </row>
    <row r="24" ht="15.75" customHeight="1" s="27">
      <c r="A24" s="14" t="n"/>
      <c r="B24" s="14" t="inlineStr">
        <is>
          <t>Matériel</t>
        </is>
      </c>
      <c r="C24" s="15">
        <f>sum(C25:C36)</f>
        <v/>
      </c>
      <c r="D24" s="15">
        <f>sum(D25:D36)</f>
        <v/>
      </c>
      <c r="E24" s="15">
        <f>sum(E25:E36)</f>
        <v/>
      </c>
      <c r="F24" s="15">
        <f>sum(F25:F36)</f>
        <v/>
      </c>
      <c r="G24" s="15">
        <f>sum(G25:G36)</f>
        <v/>
      </c>
      <c r="H24" s="15">
        <f>sum(H25:H36)</f>
        <v/>
      </c>
      <c r="I24" s="15">
        <f>sum(I25:I36)</f>
        <v/>
      </c>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row>
    <row r="25" ht="42" customHeight="1" s="27">
      <c r="A25" s="16" t="n"/>
      <c r="B25" s="36" t="inlineStr">
        <is>
          <t>Valorisation à 20 % de la valeur à neuf (location équivalente, ~2 mois) — 8 boîtiers de captation bioélectrique conçus et construits par l'artiste (4 en jeu, 4 de rechange) : 8 × 300 € = 2 400 € ≈ 3 860 $ ; 20 % = 770 $</t>
        </is>
      </c>
      <c r="C25" s="17" t="n">
        <v>770</v>
      </c>
      <c r="D25" s="17" t="n">
        <v>770</v>
      </c>
      <c r="E25" s="17" t="n"/>
      <c r="F25" s="17" t="n"/>
      <c r="G25" s="17" t="n"/>
      <c r="H25" s="17">
        <f>sum(D25:G25)</f>
        <v/>
      </c>
      <c r="I25" s="17">
        <f>C25-H25</f>
        <v/>
      </c>
    </row>
    <row r="26" ht="42" customHeight="1" s="27">
      <c r="A26" s="16" t="n"/>
      <c r="B26" s="36" t="inlineStr">
        <is>
          <t>Valorisation à 20 % de la valeur à neuf (location équivalente, ~2 mois) — violon (≈ 5 000 €), micro DPA 4099 avec pince violon (≈ 570 €), capteur piézo Fishman V-200 (≈ 170 €) : ≈ 5 740 € ≈ 9 240 $ ; 20 % = 1 850 $</t>
        </is>
      </c>
      <c r="C26" s="17" t="n">
        <v>1850</v>
      </c>
      <c r="D26" s="17" t="n">
        <v>1850</v>
      </c>
      <c r="E26" s="17" t="n"/>
      <c r="F26" s="17" t="n"/>
      <c r="G26" s="17" t="n"/>
      <c r="H26" s="17">
        <f>sum(D26:G26)</f>
        <v/>
      </c>
      <c r="I26" s="17">
        <f>C26-H26</f>
        <v/>
      </c>
    </row>
    <row r="27" ht="56" customHeight="1" s="27">
      <c r="A27" s="16" t="n"/>
      <c r="B27" s="36" t="inlineStr">
        <is>
          <t>Valorisation à 20 % de la valeur à neuf (location équivalente, ~2 mois) — chaîne d'effets du violon : Eventide H90 (≈ 890 €), boucleur Boomerang III (≈ 520 €), préampli Headway EDB-2 H.E. 2 canaux (≈ 385 €), 2 séparateurs Lehle P-Split (≈ 280 €), 3 boîtiers de direct Radial J48 Stereo (≈ 1 200 €), câbles de raccordement (≈ 100 €) : ≈ 3 375 € ≈ 5 430 $ ; 20 % = 1 090 $</t>
        </is>
      </c>
      <c r="C27" s="17" t="n">
        <v>1090</v>
      </c>
      <c r="D27" s="17" t="n">
        <v>1090</v>
      </c>
      <c r="E27" s="17" t="n"/>
      <c r="F27" s="17" t="n"/>
      <c r="G27" s="17" t="n"/>
      <c r="H27" s="17">
        <f>sum(D27:G27)</f>
        <v/>
      </c>
      <c r="I27" s="17">
        <f>C27-H27</f>
        <v/>
      </c>
    </row>
    <row r="28" ht="28" customHeight="1" s="27">
      <c r="A28" s="16" t="n"/>
      <c r="B28" s="36" t="inlineStr">
        <is>
          <t>Valorisation à 20 % de la valeur à neuf (location équivalente, ~2 mois) — échantillonneur Torso S-4 (≈ 820 €) et synthétiseur Polyend Synth (≈ 760 €) : ≈ 1 580 € ≈ 2 540 $ ; 20 % = 510 $</t>
        </is>
      </c>
      <c r="C28" s="17" t="n">
        <v>510</v>
      </c>
      <c r="D28" s="17" t="n">
        <v>510</v>
      </c>
      <c r="E28" s="17" t="n"/>
      <c r="F28" s="17" t="n"/>
      <c r="G28" s="17" t="n"/>
      <c r="H28" s="17">
        <f>sum(D28:G28)</f>
        <v/>
      </c>
      <c r="I28" s="17">
        <f>C28-H28</f>
        <v/>
      </c>
    </row>
    <row r="29" ht="42" customHeight="1" s="27">
      <c r="A29" s="16" t="n"/>
      <c r="B29" s="36" t="inlineStr">
        <is>
          <t>Valorisation à 20 % de la valeur à neuf (location équivalente, ~2 mois) — ordinateurs : son, MacBook Pro 16 po M1 Max (valeur de remplacement ≈ 2 500 €) ; image, portable MSI Vector 17 HX A13V, RTX 4090 (≈ 3 500 €) : ≈ 6 000 € ≈ 9 660 $ ; 20 % = 1 930 $</t>
        </is>
      </c>
      <c r="C29" s="17" t="n">
        <v>1930</v>
      </c>
      <c r="D29" s="17" t="n">
        <v>1930</v>
      </c>
      <c r="E29" s="17" t="n"/>
      <c r="F29" s="17" t="n"/>
      <c r="G29" s="17" t="n"/>
      <c r="H29" s="17">
        <f>sum(D29:G29)</f>
        <v/>
      </c>
      <c r="I29" s="17">
        <f>C29-H29</f>
        <v/>
      </c>
    </row>
    <row r="30" ht="28" customHeight="1" s="27">
      <c r="A30" s="16" t="n"/>
      <c r="B30" s="36" t="inlineStr">
        <is>
          <t>Valorisation à 20 % de la valeur à neuf (location équivalente, ~2 mois) — casque, câbles audio et réseau, multiprises (≈ 200 €) ≈ 320 $ ; 20 % = 60 $</t>
        </is>
      </c>
      <c r="C30" s="17" t="n">
        <v>60</v>
      </c>
      <c r="D30" s="17" t="n">
        <v>60</v>
      </c>
      <c r="E30" s="17" t="n"/>
      <c r="F30" s="17" t="n"/>
      <c r="G30" s="17" t="n"/>
      <c r="H30" s="17">
        <f>sum(D30:G30)</f>
        <v/>
      </c>
      <c r="I30" s="17">
        <f>C30-H30</f>
        <v/>
      </c>
    </row>
    <row r="31" ht="42" customHeight="1" s="27">
      <c r="A31" s="16" t="n"/>
      <c r="B31" s="36" t="inlineStr">
        <is>
          <t>Plantes : ~15 fougères vivantes pour les trois couronnes (fougère de Boston, nid d'oiseau, corne d'élan…, sans espèce imposée), achetées sur place puis données après la résidence : 15 × ~40 $ ; soins (brumisateur, lampe horticole, terreau, engrais) et fougères de rechange : 350 $</t>
        </is>
      </c>
      <c r="C31" s="17" t="n">
        <v>950</v>
      </c>
      <c r="D31" s="17" t="n"/>
      <c r="E31" s="17" t="n"/>
      <c r="F31" s="17" t="n"/>
      <c r="G31" s="17" t="n">
        <v>950</v>
      </c>
      <c r="H31" s="17">
        <f>sum(D31:G31)</f>
        <v/>
      </c>
      <c r="I31" s="17">
        <f>C31-H31</f>
        <v/>
      </c>
    </row>
    <row r="32" ht="56" customHeight="1" s="27">
      <c r="A32" s="16" t="n"/>
      <c r="B32" s="36" t="inlineStr">
        <is>
          <t>Plantes et structure : tours de truss en aluminium (~3 m, avec embase) : essai d'une tour en période 1 (ombres portées, sécurité), 1 semaine × ~120 $ ; trois tours en fin de période 2 pour la répétition générale et la présentation privée, location minimale 1 semaine × 3 × ~120 $ (sur devis ; ligne supprimée si la SAT prête du truss)</t>
        </is>
      </c>
      <c r="C32" s="17" t="n">
        <v>480</v>
      </c>
      <c r="D32" s="17" t="n"/>
      <c r="E32" s="17" t="n"/>
      <c r="F32" s="17" t="n"/>
      <c r="G32" s="17" t="n">
        <v>480</v>
      </c>
      <c r="H32" s="17">
        <f>sum(D32:G32)</f>
        <v/>
      </c>
      <c r="I32" s="17">
        <f>C32-H32</f>
        <v/>
      </c>
    </row>
    <row r="33" ht="56" customHeight="1" s="27">
      <c r="A33" s="16" t="n"/>
      <c r="B33" s="36" t="inlineStr">
        <is>
          <t>Plantes et structure : fixation des couronnes (berceaux, sangles de sécurité, soucoupes, lest des embases), conçue et essayée pendant la résidence : 450 $ ; sellettes pour les fougères au sol : 100 $ ; camionnette pour la tour d'essai (150 $) et pour les trois tours en fin de période 2 (2 × 150 $)</t>
        </is>
      </c>
      <c r="C33" s="17" t="n">
        <v>1000</v>
      </c>
      <c r="D33" s="17" t="n"/>
      <c r="E33" s="17" t="n"/>
      <c r="F33" s="17" t="n"/>
      <c r="G33" s="17" t="n">
        <v>1000</v>
      </c>
      <c r="H33" s="17">
        <f>sum(D33:G33)</f>
        <v/>
      </c>
      <c r="I33" s="17">
        <f>C33-H33</f>
        <v/>
      </c>
    </row>
    <row r="34" ht="56" customHeight="1" s="27">
      <c r="A34" s="16" t="n"/>
      <c r="B34" s="36" t="inlineStr">
        <is>
          <t>Assurances : tous risques matériel et instruments (vol, casse, dommages), transport aérien compris, monde entier, couvrant la résidence et la présentation : valeur ≈ 19 300 € ≈ 31 100 $ × ~2,5 % = 780 $ ; responsabilité civile, tours de truss en présence du public comprises (à préciser avec la SAT) : 300 $</t>
        </is>
      </c>
      <c r="C34" s="17" t="n">
        <v>1080</v>
      </c>
      <c r="D34" s="17" t="n"/>
      <c r="E34" s="17" t="n"/>
      <c r="F34" s="17" t="n"/>
      <c r="G34" s="17" t="n"/>
      <c r="H34" s="17">
        <f>sum(D34:G34)</f>
        <v/>
      </c>
      <c r="I34" s="17">
        <f>C34-H34</f>
        <v/>
      </c>
    </row>
    <row r="35" ht="56" customHeight="1" s="27">
      <c r="A35" s="16" t="n"/>
      <c r="B35" s="36" t="inlineStr">
        <is>
          <t>Consommables des capteurs (électrodes, câbles, piles) : 250 $ ; disque SSD 4 To pour les masters vidéo 4096² (ProRes) et la captation : 350 $ ; licence TouchDesigner Commercial, indispensable pour une sortie 4096 × 4096 (la version gratuite est limitée à 1280 × 1280) : ~600 $ US, soit ~850 $</t>
        </is>
      </c>
      <c r="C35" s="17" t="n">
        <v>1450</v>
      </c>
      <c r="D35" s="17" t="n">
        <v>600</v>
      </c>
      <c r="E35" s="17" t="n"/>
      <c r="F35" s="17" t="n"/>
      <c r="G35" s="17" t="n">
        <v>850</v>
      </c>
      <c r="H35" s="17">
        <f>sum(D35:G35)</f>
        <v/>
      </c>
      <c r="I35" s="17">
        <f>C35-H35</f>
        <v/>
      </c>
    </row>
    <row r="36" ht="70" customHeight="1" s="27">
      <c r="A36" s="16" t="n"/>
      <c r="B36" s="36" t="inlineStr">
        <is>
          <t>Location de matériel, seulement si la SAT ne le fournit pas — éventuel : caméra zénithale pour la couche facultative (~300 $) ; trois petits haut-parleurs au pied des tours, type Audiodice (~300 $) ; pour la captation de la présentation privée, caméras et optique fisheye si le matériel de la SAT (caméra Z-Cam) n'est pas disponible (~300 $), enregistreur multipiste et micros d'ambiance (~150 $)</t>
        </is>
      </c>
      <c r="C36" s="17" t="n">
        <v>1050</v>
      </c>
      <c r="D36" s="17" t="n"/>
      <c r="E36" s="17" t="n"/>
      <c r="F36" s="17" t="n"/>
      <c r="G36" s="17" t="n"/>
      <c r="H36" s="17">
        <f>sum(D36:G36)</f>
        <v/>
      </c>
      <c r="I36" s="17">
        <f>C36-H36</f>
        <v/>
      </c>
    </row>
    <row r="37" ht="15.75" customHeight="1" s="27">
      <c r="A37" s="14" t="n"/>
      <c r="B37" s="14" t="inlineStr">
        <is>
          <t>Hébergement</t>
        </is>
      </c>
      <c r="C37" s="15">
        <f>sum(C38:C49)</f>
        <v/>
      </c>
      <c r="D37" s="15">
        <f>sum(D38:D49)</f>
        <v/>
      </c>
      <c r="E37" s="15">
        <f>sum(E38:E49)</f>
        <v/>
      </c>
      <c r="F37" s="15">
        <f>sum(F38:F49)</f>
        <v/>
      </c>
      <c r="G37" s="15">
        <f>sum(G38:G49)</f>
        <v/>
      </c>
      <c r="H37" s="15">
        <f>sum(H38:H49)</f>
        <v/>
      </c>
      <c r="I37" s="15">
        <f>sum(I38:I49)</f>
        <v/>
      </c>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row>
    <row r="38" ht="56" customHeight="1" s="27">
      <c r="A38" s="16" t="n"/>
      <c r="B38" s="36" t="inlineStr">
        <is>
          <t>Logement à Montréal pendant les deux périodes sous le dôme : ~6 semaines × 600 $, sous-location meublée d'été réservée dès la sélection (marché relevé en oct. 2026 : 1 650-2 625 $/mois sur le Plateau ; repli : résidences universitaires d'été, dès ~28 $/nuit pour 30 nuits et plus) ; solutions d'accueil recherchées aussi auprès de la communauté artistique montréalaise</t>
        </is>
      </c>
      <c r="C38" s="17" t="n">
        <v>3600</v>
      </c>
      <c r="D38" s="17" t="n"/>
      <c r="E38" s="17" t="n"/>
      <c r="F38" s="17" t="n">
        <v>2850</v>
      </c>
      <c r="G38" s="17" t="n"/>
      <c r="H38" s="17">
        <f>sum(D38:G38)</f>
        <v/>
      </c>
      <c r="I38" s="17">
        <f>C38-H38</f>
        <v/>
      </c>
    </row>
    <row r="39" ht="28" customHeight="1" s="27">
      <c r="A39" s="16" t="n"/>
      <c r="B39" s="36" t="inlineStr">
        <is>
          <t>Valorisation : hébergement chez un proche au Québec entre les deux périodes (~3 semaines × 600 $)</t>
        </is>
      </c>
      <c r="C39" s="17" t="n">
        <v>1800</v>
      </c>
      <c r="D39" s="17" t="n"/>
      <c r="E39" s="17" t="n">
        <v>1800</v>
      </c>
      <c r="F39" s="17" t="n"/>
      <c r="G39" s="17" t="n"/>
      <c r="H39" s="17">
        <f>sum(D39:G39)</f>
        <v/>
      </c>
      <c r="I39" s="17">
        <f>C39-H39</f>
        <v/>
      </c>
    </row>
    <row r="40" ht="15.75" customHeight="1" s="27">
      <c r="A40" s="16" t="n"/>
      <c r="B40" s="36" t="inlineStr">
        <is>
          <t>Frais de séjour (repas) à Montréal : 42 jours × 40 $</t>
        </is>
      </c>
      <c r="C40" s="17" t="n">
        <v>1680</v>
      </c>
      <c r="D40" s="17" t="n"/>
      <c r="E40" s="17" t="n"/>
      <c r="F40" s="17" t="n"/>
      <c r="G40" s="17" t="n"/>
      <c r="H40" s="17">
        <f>sum(D40:G40)</f>
        <v/>
      </c>
      <c r="I40" s="17">
        <f>C40-H40</f>
        <v/>
      </c>
    </row>
    <row r="41" ht="28" customHeight="1" s="27">
      <c r="A41" s="16" t="n"/>
      <c r="B41" s="36" t="inlineStr">
        <is>
          <t>Présentation publique — logement à Montréal (~1 semaine : installation, deux jours de répétition, représentation(s) ; à ajuster au nombre de représentations fixé avec la SAT) : ~600 $</t>
        </is>
      </c>
      <c r="C41" s="17" t="n">
        <v>600</v>
      </c>
      <c r="D41" s="17" t="n"/>
      <c r="E41" s="17" t="n"/>
      <c r="F41" s="17" t="n"/>
      <c r="G41" s="17" t="n"/>
      <c r="H41" s="17">
        <f>sum(D41:G41)</f>
        <v/>
      </c>
      <c r="I41" s="17">
        <f>C41-H41</f>
        <v/>
      </c>
    </row>
    <row r="42" ht="15.75" customHeight="1" s="27">
      <c r="A42" s="16" t="n"/>
      <c r="B42" s="36" t="inlineStr">
        <is>
          <t>Présentation publique — frais de séjour (repas) : 7 jours × 40 $</t>
        </is>
      </c>
      <c r="C42" s="17" t="n">
        <v>280</v>
      </c>
      <c r="D42" s="17" t="n"/>
      <c r="E42" s="17" t="n"/>
      <c r="F42" s="17" t="n"/>
      <c r="G42" s="17" t="n"/>
      <c r="H42" s="17">
        <f>sum(D42:G42)</f>
        <v/>
      </c>
      <c r="I42" s="17">
        <f>C42-H42</f>
        <v/>
      </c>
    </row>
    <row r="43" ht="28" customHeight="1" s="27">
      <c r="A43" s="16" t="n"/>
      <c r="B43" s="36" t="inlineStr">
        <is>
          <t>Logement à Montréal pour la session de studio éventuelle entre les deux périodes (~2 nuits × 100 $) — éventuel</t>
        </is>
      </c>
      <c r="C43" s="17" t="n">
        <v>200</v>
      </c>
      <c r="D43" s="17" t="n"/>
      <c r="E43" s="17" t="n"/>
      <c r="F43" s="17" t="n"/>
      <c r="G43" s="17" t="n"/>
      <c r="H43" s="17">
        <f>sum(D43:G43)</f>
        <v/>
      </c>
      <c r="I43" s="17">
        <f>C43-H43</f>
        <v/>
      </c>
    </row>
    <row r="44" ht="15.75" customHeight="1" s="27">
      <c r="A44" s="16" t="n"/>
      <c r="B44" s="16" t="n"/>
      <c r="C44" s="17" t="n"/>
      <c r="D44" s="17" t="n"/>
      <c r="E44" s="17" t="n"/>
      <c r="F44" s="17" t="n"/>
      <c r="G44" s="17" t="n"/>
      <c r="H44" s="17">
        <f>sum(D44:G44)</f>
        <v/>
      </c>
      <c r="I44" s="17">
        <f>C44-H44</f>
        <v/>
      </c>
    </row>
    <row r="45" ht="15.75" customHeight="1" s="27">
      <c r="A45" s="16" t="n"/>
      <c r="B45" s="16" t="n"/>
      <c r="C45" s="17" t="n"/>
      <c r="D45" s="17" t="n"/>
      <c r="E45" s="17" t="n"/>
      <c r="F45" s="17" t="n"/>
      <c r="G45" s="17" t="n"/>
      <c r="H45" s="17">
        <f>sum(D45:G45)</f>
        <v/>
      </c>
      <c r="I45" s="17">
        <f>C45-H45</f>
        <v/>
      </c>
    </row>
    <row r="46" ht="15.75" customHeight="1" s="27">
      <c r="A46" s="16" t="n"/>
      <c r="B46" s="16" t="n"/>
      <c r="C46" s="17" t="n"/>
      <c r="D46" s="17" t="n"/>
      <c r="E46" s="17" t="n"/>
      <c r="F46" s="17" t="n"/>
      <c r="G46" s="17" t="n"/>
      <c r="H46" s="17">
        <f>sum(D46:G46)</f>
        <v/>
      </c>
      <c r="I46" s="17">
        <f>C46-H46</f>
        <v/>
      </c>
    </row>
    <row r="47" ht="15.75" customHeight="1" s="27">
      <c r="A47" s="16" t="n"/>
      <c r="B47" s="16" t="n"/>
      <c r="C47" s="17" t="n"/>
      <c r="D47" s="17" t="n"/>
      <c r="E47" s="17" t="n"/>
      <c r="F47" s="17" t="n"/>
      <c r="G47" s="17" t="n"/>
      <c r="H47" s="17">
        <f>sum(D47:G47)</f>
        <v/>
      </c>
      <c r="I47" s="17">
        <f>C47-H47</f>
        <v/>
      </c>
    </row>
    <row r="48" ht="15.75" customHeight="1" s="27">
      <c r="A48" s="16" t="n"/>
      <c r="B48" s="16" t="n"/>
      <c r="C48" s="17" t="n"/>
      <c r="D48" s="17" t="n"/>
      <c r="E48" s="17" t="n"/>
      <c r="F48" s="17" t="n"/>
      <c r="G48" s="17" t="n"/>
      <c r="H48" s="17">
        <f>sum(D48:G48)</f>
        <v/>
      </c>
      <c r="I48" s="17">
        <f>C48-H48</f>
        <v/>
      </c>
    </row>
    <row r="49" ht="15.75" customHeight="1" s="27">
      <c r="A49" s="16" t="n"/>
      <c r="B49" s="16" t="n"/>
      <c r="C49" s="17" t="n"/>
      <c r="D49" s="17" t="n"/>
      <c r="E49" s="17" t="n"/>
      <c r="F49" s="17" t="n"/>
      <c r="G49" s="17" t="n"/>
      <c r="H49" s="17">
        <f>sum(D49:G49)</f>
        <v/>
      </c>
      <c r="I49" s="17">
        <f>C49-H49</f>
        <v/>
      </c>
    </row>
    <row r="50" ht="15.75" customHeight="1" s="27">
      <c r="A50" s="14" t="n"/>
      <c r="B50" s="14" t="inlineStr">
        <is>
          <t>Autres</t>
        </is>
      </c>
      <c r="C50" s="15">
        <f>sum(C51:C62)</f>
        <v/>
      </c>
      <c r="D50" s="15">
        <f>sum(D51:D62)</f>
        <v/>
      </c>
      <c r="E50" s="15">
        <f>sum(E51:E62)</f>
        <v/>
      </c>
      <c r="F50" s="15">
        <f>sum(F51:F62)</f>
        <v/>
      </c>
      <c r="G50" s="15">
        <f>sum(G51:G62)</f>
        <v/>
      </c>
      <c r="H50" s="15">
        <f>sum(H51:H62)</f>
        <v/>
      </c>
      <c r="I50" s="15">
        <f>sum(I51:I62)</f>
        <v/>
      </c>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row>
    <row r="51" ht="15.75" customHeight="1" s="27">
      <c r="A51" s="16" t="n"/>
      <c r="B51" s="36" t="inlineStr">
        <is>
          <t>Billet d'avion La Réunion ↔ Montréal (1 aller-retour, ~1 800 €)</t>
        </is>
      </c>
      <c r="C51" s="17" t="n">
        <v>2900</v>
      </c>
      <c r="D51" s="17" t="n"/>
      <c r="E51" s="17" t="n"/>
      <c r="F51" s="17" t="n">
        <v>2900</v>
      </c>
      <c r="G51" s="17" t="n"/>
      <c r="H51" s="17">
        <f>sum(D51:G51)</f>
        <v/>
      </c>
      <c r="I51" s="17">
        <f>C51-H51</f>
        <v/>
      </c>
    </row>
    <row r="52" ht="70" customHeight="1" s="27">
      <c r="A52" s="16" t="n"/>
      <c r="B52" s="36" t="inlineStr">
        <is>
          <t>Bagages (Air France) : 2 bagages supplémentaires en soute pour le matériel, ~90 € puis ~200 € par trajet, × 2 trajets ≈ 600 € (≈ 970 $, selon le tarif à la réservation) ; achat de 2 valises de transport étanches et légères Peli Air 1605 avec mousse (2 × ~450 € ≈ 1 450 $ ; 139 cm, 5,3 kg à vide, ~14 kg chargées, dans les limites de 158 cm et 23 kg), réutilisées pour la présentation et la tournée ; le violon voyage en cabine (bagage à main), les ordinateurs en accessoire</t>
        </is>
      </c>
      <c r="C52" s="17" t="n">
        <v>2420</v>
      </c>
      <c r="D52" s="17" t="n"/>
      <c r="E52" s="17" t="n"/>
      <c r="F52" s="17" t="n">
        <v>650</v>
      </c>
      <c r="G52" s="17" t="n"/>
      <c r="H52" s="17">
        <f>sum(D52:G52)</f>
        <v/>
      </c>
      <c r="I52" s="17">
        <f>C52-H52</f>
        <v/>
      </c>
    </row>
    <row r="53" ht="42" customHeight="1" s="27">
      <c r="A53" s="16" t="n"/>
      <c r="B53" s="36" t="inlineStr">
        <is>
          <t>Trajets Montréal ↔ Québec en autocar ou en train : ~10 allers simples × 70 $ (aller et retour entre les deux périodes, un aller-retour pour un rendez-vous à la SAT, fins de semaine pendant les périodes)</t>
        </is>
      </c>
      <c r="C53" s="17" t="n">
        <v>700</v>
      </c>
      <c r="D53" s="17" t="n"/>
      <c r="E53" s="17" t="n"/>
      <c r="F53" s="17" t="n"/>
      <c r="G53" s="17" t="n"/>
      <c r="H53" s="17">
        <f>sum(D53:G53)</f>
        <v/>
      </c>
      <c r="I53" s="17">
        <f>C53-H53</f>
        <v/>
      </c>
    </row>
    <row r="54" ht="28" customHeight="1" s="27">
      <c r="A54" s="16" t="n"/>
      <c r="B54" s="36" t="inlineStr">
        <is>
          <t>Transport local à Montréal : 2 titres mensuels STM tous modes A (2 × 110 $) ; taxis pour le matériel entre le logement et la SAT (~12 courses × ~30 $)</t>
        </is>
      </c>
      <c r="C54" s="17" t="n">
        <v>580</v>
      </c>
      <c r="D54" s="17" t="n"/>
      <c r="E54" s="17" t="n"/>
      <c r="F54" s="17" t="n"/>
      <c r="G54" s="17" t="n"/>
      <c r="H54" s="17">
        <f>sum(D54:G54)</f>
        <v/>
      </c>
      <c r="I54" s="17">
        <f>C54-H54</f>
        <v/>
      </c>
    </row>
    <row r="55" ht="15.75" customHeight="1" s="27">
      <c r="A55" s="16" t="n"/>
      <c r="B55" s="36" t="inlineStr">
        <is>
          <t>Assurance voyage et santé (~2 mois) et autorisation de voyage électronique (AVE)</t>
        </is>
      </c>
      <c r="C55" s="17" t="n">
        <v>310</v>
      </c>
      <c r="D55" s="17" t="n">
        <v>310</v>
      </c>
      <c r="E55" s="17" t="n"/>
      <c r="F55" s="17" t="n"/>
      <c r="G55" s="17" t="n"/>
      <c r="H55" s="17">
        <f>sum(D55:G55)</f>
        <v/>
      </c>
      <c r="I55" s="17">
        <f>C55-H55</f>
        <v/>
      </c>
    </row>
    <row r="56" ht="28" customHeight="1" s="27">
      <c r="A56" s="16" t="n"/>
      <c r="B56" s="36" t="inlineStr">
        <is>
          <t>Collaborateur·rice à l'image : trajets et logement à Montréal pendant les périodes sous le dôme, s'il ou elle réside hors de Montréal — éventuel</t>
        </is>
      </c>
      <c r="C56" s="17" t="n">
        <v>1400</v>
      </c>
      <c r="D56" s="17" t="n"/>
      <c r="E56" s="17" t="n"/>
      <c r="F56" s="17" t="n"/>
      <c r="G56" s="17" t="n"/>
      <c r="H56" s="17">
        <f>sum(D56:G56)</f>
        <v/>
      </c>
      <c r="I56" s="17">
        <f>C56-H56</f>
        <v/>
      </c>
    </row>
    <row r="57" ht="28" customHeight="1" s="27">
      <c r="A57" s="16" t="n"/>
      <c r="B57" s="36" t="inlineStr">
        <is>
          <t>Présentation publique — billet d'avion La Réunion ↔ Montréal (second voyage, si la présentation n'a pas lieu juste après la période 2)</t>
        </is>
      </c>
      <c r="C57" s="17" t="n">
        <v>2900</v>
      </c>
      <c r="D57" s="17" t="n"/>
      <c r="E57" s="17" t="n"/>
      <c r="F57" s="17" t="n"/>
      <c r="G57" s="17" t="n"/>
      <c r="H57" s="17">
        <f>sum(D57:G57)</f>
        <v/>
      </c>
      <c r="I57" s="17">
        <f>C57-H57</f>
        <v/>
      </c>
    </row>
    <row r="58" ht="42" customHeight="1" s="27">
      <c r="A58" s="16" t="n"/>
      <c r="B58" s="36" t="inlineStr">
        <is>
          <t>Présentation publique — bagages (Air France) : 2 bagages supplémentaires en soute pour le matériel (valises Peli Air déjà achetées), ~90 € puis ~200 € par trajet, × 2 trajets ≈ 600 € (≈ 970 $)</t>
        </is>
      </c>
      <c r="C58" s="17" t="n">
        <v>970</v>
      </c>
      <c r="D58" s="17" t="n"/>
      <c r="E58" s="17" t="n"/>
      <c r="F58" s="17" t="n"/>
      <c r="G58" s="17" t="n"/>
      <c r="H58" s="17">
        <f>sum(D58:G58)</f>
        <v/>
      </c>
      <c r="I58" s="17">
        <f>C58-H58</f>
        <v/>
      </c>
    </row>
    <row r="59" ht="15.75" customHeight="1" s="27">
      <c r="A59" s="16" t="n"/>
      <c r="B59" s="36" t="inlineStr">
        <is>
          <t>Présentation publique — transport local et assurance voyage</t>
        </is>
      </c>
      <c r="C59" s="17" t="n">
        <v>350</v>
      </c>
      <c r="D59" s="17" t="n"/>
      <c r="E59" s="17" t="n"/>
      <c r="F59" s="17" t="n"/>
      <c r="G59" s="17" t="n"/>
      <c r="H59" s="17">
        <f>sum(D59:G59)</f>
        <v/>
      </c>
      <c r="I59" s="17">
        <f>C59-H59</f>
        <v/>
      </c>
    </row>
    <row r="60" ht="56" customHeight="1" s="27">
      <c r="A60" s="16" t="n"/>
      <c r="B60" s="36" t="inlineStr">
        <is>
          <t>Présentation publique — location de trois tours de truss en aluminium (~3 m, avec embase) pour deux jours de répétition et la représentation : location minimale ~1 semaine × 3 × ~120 $ (ligne supprimée si la SAT prête du truss) ; 15 nouvelles fougères × 40 $ (second voyage ; fougères de la résidence réutilisées si la présentation suit la période 2)</t>
        </is>
      </c>
      <c r="C60" s="17" t="n">
        <v>960</v>
      </c>
      <c r="D60" s="17" t="n"/>
      <c r="E60" s="17" t="n"/>
      <c r="F60" s="17" t="n"/>
      <c r="G60" s="17" t="n"/>
      <c r="H60" s="17">
        <f>sum(D60:G60)</f>
        <v/>
      </c>
      <c r="I60" s="17">
        <f>C60-H60</f>
        <v/>
      </c>
    </row>
    <row r="61" ht="28" customHeight="1" s="27">
      <c r="A61" s="16" t="n"/>
      <c r="B61" s="36" t="inlineStr">
        <is>
          <t>Présentation publique — transport des tours et des fougères en camionnette (livraison et reprise) : 2 × 150 $</t>
        </is>
      </c>
      <c r="C61" s="17" t="n">
        <v>300</v>
      </c>
      <c r="D61" s="17" t="n"/>
      <c r="E61" s="17" t="n"/>
      <c r="F61" s="17" t="n"/>
      <c r="G61" s="17" t="n"/>
      <c r="H61" s="17">
        <f>sum(D61:G61)</f>
        <v/>
      </c>
      <c r="I61" s="17">
        <f>C61-H61</f>
        <v/>
      </c>
    </row>
    <row r="62" ht="15.75" customHeight="1" s="27">
      <c r="A62" s="16" t="n"/>
      <c r="B62" s="36" t="inlineStr">
        <is>
          <t>Imprévus (5 % des dépenses fermes hors valorisations)</t>
        </is>
      </c>
      <c r="C62" s="17" t="n">
        <v>1640</v>
      </c>
      <c r="D62" s="17" t="n">
        <v>1640</v>
      </c>
      <c r="E62" s="17" t="n"/>
      <c r="F62" s="17" t="n"/>
      <c r="G62" s="17" t="n"/>
      <c r="H62" s="17">
        <f>sum(D62:G62)</f>
        <v/>
      </c>
      <c r="I62" s="17">
        <f>C62-H62</f>
        <v/>
      </c>
    </row>
    <row r="63" ht="15.75" customHeight="1" s="27"/>
    <row r="64" ht="14" customHeight="1" s="27">
      <c r="B64" s="37" t="inlineStr">
        <is>
          <t>PLAN DE FINANCEMENT — comment se répartit le montant « À financer »</t>
        </is>
      </c>
      <c r="C64" s="38" t="n">
        <v>21670</v>
      </c>
    </row>
    <row r="65" ht="42" customHeight="1" s="27">
      <c r="B65" s="29" t="inlineStr">
        <is>
          <t>Les cachets versés par la SAT (création, présentation) et son soutien en production ne figurent pas au budget, selon les consignes de la SAT ; ils couvrent en pratique une partie de ce montant. Les subventions A et B ne sont pas encore demandées.</t>
        </is>
      </c>
    </row>
    <row r="66" ht="70" customHeight="1" s="27">
      <c r="B66" s="29" t="inlineStr">
        <is>
          <t>1. Production sonore (mastering des sons mono et stéréo de la composition spatiale ; session éventuelle à Montréal ; le studio est mis à disposition et le mixing est fait par l'artiste) : soutien en production de la SAT ou accès à son studio son ; demandes auprès des sociétés civiles dont l'artiste est membre (ADAMI, SACEM, SPEDIDAM), en partie par l'association ARTS RIGHTS, employeuse des chanteur·euse·s ; partenaires privés</t>
        </is>
      </c>
      <c r="C66" s="39" t="n">
        <v>2200</v>
      </c>
    </row>
    <row r="67" ht="56" customHeight="1" s="27">
      <c r="B67" s="29" t="inlineStr">
        <is>
          <t>2. Frais de séjour pendant la résidence (solde du logement, repas, nuits pour la session de studio éventuelle, trajets Montréal ↔ Québec, transport local) : à la charge de l'artiste, notamment sur son cachet de création ; non couverts par la SAT ; FEAC demandé par l'association ARTS RIGHTS</t>
        </is>
      </c>
      <c r="C67" s="39" t="n">
        <v>3910</v>
      </c>
    </row>
    <row r="68" ht="28" customHeight="1" s="27">
      <c r="B68" s="29" t="inlineStr">
        <is>
          <t>3. Assurances (matériel, responsabilité civile) et 2 valises de transport Peli Air pour le matériel : à la charge de l'artiste</t>
        </is>
      </c>
      <c r="C68" s="39" t="n">
        <v>2850</v>
      </c>
    </row>
    <row r="69" ht="42" customHeight="1" s="27">
      <c r="B69" s="29" t="inlineStr">
        <is>
          <t>4. Lignes « éventuel » (chanteur·euse·s enregistré·e·s à La Réunion, caméra zénithale, petits haut-parleurs et matériel de captation si la SAT ne les fournit pas, déplacements du/de la collaborateur·rice) : engagées seulement si nécessaire</t>
        </is>
      </c>
      <c r="C69" s="39" t="n">
        <v>4050</v>
      </c>
    </row>
    <row r="70" ht="42" customHeight="1" s="27">
      <c r="B70" s="29" t="inlineStr">
        <is>
          <t>5. Présentation publique (logement et repas, truss et fougères, camionnette) : cachet de présentation de la SAT, prêt de truss par la SAT le cas échéant, aides à la diffusion une fois les dates connues (FRAM du PRMA Réunion, aide à l'export des concerts)</t>
        </is>
      </c>
      <c r="C70" s="39" t="n">
        <v>2140</v>
      </c>
    </row>
    <row r="71" ht="70" customHeight="1" s="27">
      <c r="B71" s="29" t="inlineStr">
        <is>
          <t>6. Captation de la présentation privée de fin de résidence, 1 jour (vidéastes couverts par l'AIC au titre de la documentation ; preneur·se de son, photographe) et monteur·euse de la bande-annonce : soutien de la SAT à la documentation photo et vidéo, matériel de captation de la SAT (caméra fisheye Z-Cam), enregistrement multipiste depuis le système audio du dôme, ou montage par l'artiste</t>
        </is>
      </c>
      <c r="C71" s="39" t="n">
        <v>2300</v>
      </c>
    </row>
    <row r="72" ht="56" customHeight="1" s="27">
      <c r="B72" s="29" t="inlineStr">
        <is>
          <t>7. Présentation publique, second voyage depuis La Réunion (billet, bagages, assurance voyage) : seulement si la présentation n'a pas lieu juste après la période 2 (sinon ce montant disparaît) ; dans ce cas, FRAM du PRMA Réunion (mobilité et export des concerts), Région Réunion (aide à la diffusion hors Réunion) et FEAC par l'association ARTS RIGHTS</t>
        </is>
      </c>
      <c r="C72" s="39" t="n">
        <v>4220</v>
      </c>
    </row>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5">
    <mergeCell ref="D8:H8"/>
    <mergeCell ref="C8:C9"/>
    <mergeCell ref="I8:I9"/>
    <mergeCell ref="B8:B9"/>
    <mergeCell ref="C5:I5"/>
  </mergeCells>
  <conditionalFormatting sqref="C6">
    <cfRule type="notContainsText" priority="1" operator="notContains" dxfId="0" text="CAD (dollar canadien)">
      <formula>ISERROR(SEARCH(("CAD (dollar canadien)"),(C6)))</formula>
    </cfRule>
  </conditionalFormatting>
  <hyperlinks>
    <hyperlink xmlns:r="http://schemas.openxmlformats.org/officeDocument/2006/relationships" ref="D6" r:id="rId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0" summaryRight="0"/>
    <pageSetUpPr fitToPage="1"/>
  </sheetPr>
  <dimension ref="A1:F28"/>
  <sheetViews>
    <sheetView workbookViewId="0">
      <selection activeCell="A1" sqref="A1"/>
    </sheetView>
  </sheetViews>
  <sheetFormatPr baseColWidth="8" defaultColWidth="12.63" defaultRowHeight="15" customHeight="1"/>
  <cols>
    <col width="38" customWidth="1" style="27" min="1" max="1"/>
    <col width="13" customWidth="1" style="27" min="2" max="4"/>
    <col width="13" customWidth="1" style="27" min="3" max="3"/>
    <col width="13" customWidth="1" style="27" min="4" max="4"/>
    <col width="95" customWidth="1" style="27" min="5" max="5"/>
    <col width="12.63" customWidth="1" style="27" min="6" max="6"/>
  </cols>
  <sheetData>
    <row r="1" ht="15.75" customHeight="1" s="27">
      <c r="A1" s="18" t="inlineStr">
        <is>
          <t>PLANNIFICATION : MERCI DE REMPLIR CE TABLEAU DU MIEUX DE VOS CONNAISSANCES</t>
        </is>
      </c>
      <c r="F1" s="19" t="n"/>
    </row>
    <row r="2" ht="15.75" customHeight="1" s="27">
      <c r="A2" s="20" t="inlineStr">
        <is>
          <t>Dupliquez des lignes au besoin</t>
        </is>
      </c>
      <c r="B2" s="20" t="n"/>
      <c r="C2" s="20" t="n"/>
      <c r="D2" s="20" t="n"/>
      <c r="E2" s="20" t="n"/>
    </row>
    <row r="3" ht="15.75" customHeight="1" s="27">
      <c r="A3" s="21" t="n"/>
      <c r="B3" s="22" t="inlineStr">
        <is>
          <t>From</t>
        </is>
      </c>
      <c r="C3" s="22" t="inlineStr">
        <is>
          <t>To</t>
        </is>
      </c>
      <c r="D3" s="22" t="inlineStr">
        <is>
          <t>Specific date</t>
        </is>
      </c>
      <c r="E3" s="22" t="inlineStr">
        <is>
          <t>Comment</t>
        </is>
      </c>
    </row>
    <row r="4" ht="30" customHeight="1" s="27">
      <c r="A4" s="40" t="inlineStr">
        <is>
          <t>Début du projet</t>
        </is>
      </c>
      <c r="B4" s="41" t="n">
        <v>46402</v>
      </c>
      <c r="C4" s="41" t="n"/>
      <c r="D4" s="41" t="n"/>
      <c r="E4" s="42" t="inlineStr">
        <is>
          <t>Préparation à distance dès l'annonce des résultats (janvier 2027), à partir de la matière existante (pièce présentée depuis 2019) : studio du Conservatoire à rayonnement régional de La Réunion (voix, violon, enregistrements de terrain ; percussions maloya déjà enregistrées), mixing par l'artiste, mastering à distance par un·e ingénieur·e, composition spatiale dans SpatGRIS en binaural, image dans TouchDesigner.</t>
        </is>
      </c>
    </row>
    <row r="5" ht="30" customHeight="1" s="27">
      <c r="A5" s="40" t="inlineStr">
        <is>
          <t>Disponibilité générale pour une résidence</t>
        </is>
      </c>
      <c r="B5" s="41" t="n">
        <v>46419</v>
      </c>
      <c r="C5" s="41" t="n">
        <v>46996</v>
      </c>
      <c r="D5" s="41" t="n"/>
      <c r="E5" s="42" t="inlineStr">
        <is>
          <t>Disponible tout au long du cycle 2027-2028. Toutes les dates ci-dessous sont indicatives (un exemple de calendrier) et s'ajustent à celui de la Satosphère, en concertation avec la SAT.</t>
        </is>
      </c>
    </row>
    <row r="6" ht="30" customHeight="1" s="27">
      <c r="A6" s="40" t="inlineStr">
        <is>
          <t>Date importante</t>
        </is>
      </c>
      <c r="B6" s="41" t="n">
        <v>46522</v>
      </c>
      <c r="C6" s="41" t="n">
        <v>46583</v>
      </c>
      <c r="D6" s="41" t="n"/>
      <c r="E6" s="42" t="inlineStr">
        <is>
          <t>Exemple indicatif : un seul voyage La Réunion ↔ Montréal d'environ 2 mois (mai-juillet 2027 donné à titre d'exemple ; toute autre période du cycle convient).</t>
        </is>
      </c>
    </row>
    <row r="7" ht="30" customHeight="1" s="27">
      <c r="A7" s="40" t="inlineStr">
        <is>
          <t>Date importante</t>
        </is>
      </c>
      <c r="B7" s="41" t="n">
        <v>46524</v>
      </c>
      <c r="C7" s="41" t="n">
        <v>46537</v>
      </c>
      <c r="D7" s="41" t="n"/>
      <c r="E7" s="42" t="inlineStr">
        <is>
          <t>Indicatif — Période 1 sous le dôme (2 semaines) : initiation, placement des fougères et de l'estrade, essai d'une tour de truss, composition spatiale du son, mapping, première version des cinq pièces.</t>
        </is>
      </c>
    </row>
    <row r="8" ht="30" customHeight="1" s="27">
      <c r="A8" s="40" t="inlineStr">
        <is>
          <t>Date importante</t>
        </is>
      </c>
      <c r="B8" s="41" t="n">
        <v>46538</v>
      </c>
      <c r="C8" s="41" t="n">
        <v>46558</v>
      </c>
      <c r="D8" s="41" t="n"/>
      <c r="E8" s="42" t="inlineStr">
        <is>
          <t>Indicatif — Entre les deux périodes (~3 semaines), au Québec, hors du dôme : refaire les rendus, retravailler son, image et enchaînements ; si la période 1 révèle un manque, courte session de studio à Montréal (1 à 2 jours).</t>
        </is>
      </c>
    </row>
    <row r="9" ht="30" customHeight="1" s="27">
      <c r="A9" s="40" t="inlineStr">
        <is>
          <t>Date importante</t>
        </is>
      </c>
      <c r="B9" s="41" t="n">
        <v>46559</v>
      </c>
      <c r="C9" s="41" t="n">
        <v>46579</v>
      </c>
      <c r="D9" s="41" t="n"/>
      <c r="E9" s="42" t="inlineStr">
        <is>
          <t>Indicatif — Période 2 sous le dôme (3 semaines) : ajustements, répétitions complètes, couches facultatives ; en fin de période, deux jours de répétition générale (tours de truss montées) et une présentation privée captée pour l'archive et une bande-annonce (distincte de la présentation publique).</t>
        </is>
      </c>
    </row>
    <row r="10" ht="30" customHeight="1" s="27">
      <c r="A10" s="40" t="inlineStr">
        <is>
          <t>Date limite de subvention</t>
        </is>
      </c>
      <c r="B10" s="41" t="n"/>
      <c r="C10" s="41" t="n"/>
      <c r="D10" s="41" t="n"/>
      <c r="E10" s="42" t="inlineStr">
        <is>
          <t>Demandes d'aide à déposer dès la sélection avec les lettres de la SAT : Institut français, MIRA (février 2027) ; DAC Réunion, AIC ; aides à la diffusion une fois les dates de présentation connues.</t>
        </is>
      </c>
    </row>
    <row r="11" ht="30" customHeight="1" s="27">
      <c r="A11" s="40" t="inlineStr">
        <is>
          <t>Autre (préciser)</t>
        </is>
      </c>
      <c r="B11" s="41" t="n"/>
      <c r="C11" s="41" t="n"/>
      <c r="D11" s="41" t="n"/>
      <c r="E11" s="42" t="inlineStr">
        <is>
          <t>Présentation publique selon la programmation 2027-2028 de la SAT (tours de truss montées pour deux jours de répétition et la représentation), idéalement juste après la période 2 (un seul voyage), sinon lors d'un second voyage. Temps sous le dôme : environ la moitié de la période 1 pour la composition spatiale du son.</t>
        </is>
      </c>
    </row>
    <row r="12" ht="15.75" customHeight="1" s="27">
      <c r="A12" s="23" t="inlineStr">
        <is>
          <t>Autre (préciser)</t>
        </is>
      </c>
      <c r="B12" s="24" t="n">
        <v>44927</v>
      </c>
      <c r="C12" s="24" t="n">
        <v>44927</v>
      </c>
      <c r="D12" s="24" t="n">
        <v>44927</v>
      </c>
      <c r="E12" s="25" t="inlineStr">
        <is>
          <t>Ex : ...</t>
        </is>
      </c>
    </row>
    <row r="13" ht="15.75" customHeight="1" s="27">
      <c r="A13" s="23" t="inlineStr">
        <is>
          <t>_</t>
        </is>
      </c>
      <c r="B13" s="24" t="n">
        <v>44927</v>
      </c>
      <c r="C13" s="24" t="n">
        <v>44927</v>
      </c>
      <c r="D13" s="24" t="n">
        <v>44927</v>
      </c>
      <c r="E13" s="26" t="n"/>
    </row>
    <row r="14" ht="15.75" customHeight="1" s="27">
      <c r="A14" s="23" t="inlineStr">
        <is>
          <t>_</t>
        </is>
      </c>
      <c r="B14" s="24" t="n">
        <v>44927</v>
      </c>
      <c r="C14" s="24" t="n">
        <v>44927</v>
      </c>
      <c r="D14" s="24" t="n">
        <v>44927</v>
      </c>
      <c r="E14" s="26" t="n"/>
    </row>
    <row r="15" ht="15.75" customHeight="1" s="27">
      <c r="A15" s="20" t="n"/>
      <c r="B15" s="20" t="n"/>
      <c r="C15" s="20" t="n"/>
      <c r="D15" s="20" t="n"/>
      <c r="E15" s="20" t="n"/>
    </row>
    <row r="16" ht="15.75" customHeight="1" s="27">
      <c r="A16" s="20" t="n"/>
      <c r="B16" s="20" t="n"/>
      <c r="C16" s="20" t="n"/>
      <c r="D16" s="20" t="n"/>
      <c r="E16" s="20" t="n"/>
    </row>
    <row r="17" ht="15.75" customHeight="1" s="27">
      <c r="A17" s="20" t="n"/>
      <c r="B17" s="20" t="n"/>
      <c r="C17" s="20" t="n"/>
      <c r="D17" s="20" t="n"/>
      <c r="E17" s="20" t="n"/>
    </row>
    <row r="18" ht="15.75" customHeight="1" s="27">
      <c r="A18" s="20" t="n"/>
      <c r="B18" s="20" t="n"/>
      <c r="C18" s="20" t="n"/>
      <c r="D18" s="20" t="n"/>
      <c r="E18" s="20" t="n"/>
    </row>
    <row r="19" ht="15.75" customHeight="1" s="27">
      <c r="A19" s="20" t="n"/>
      <c r="B19" s="20" t="n"/>
      <c r="C19" s="20" t="n"/>
      <c r="D19" s="20" t="n"/>
      <c r="E19" s="20" t="n"/>
    </row>
    <row r="20" ht="15.75" customHeight="1" s="27">
      <c r="A20" s="20" t="n"/>
      <c r="B20" s="20" t="n"/>
      <c r="C20" s="20" t="n"/>
      <c r="D20" s="20" t="n"/>
      <c r="E20" s="20" t="n"/>
    </row>
    <row r="21" ht="15.75" customHeight="1" s="27">
      <c r="A21" s="20" t="n"/>
      <c r="B21" s="20" t="n"/>
      <c r="C21" s="20" t="n"/>
      <c r="D21" s="20" t="n"/>
      <c r="E21" s="20" t="n"/>
    </row>
    <row r="22" ht="15.75" customHeight="1" s="27">
      <c r="A22" s="20" t="n"/>
      <c r="B22" s="20" t="n"/>
      <c r="C22" s="20" t="n"/>
      <c r="D22" s="20" t="n"/>
      <c r="E22" s="20" t="n"/>
    </row>
    <row r="23" ht="15.75" customHeight="1" s="27">
      <c r="A23" s="20" t="n"/>
      <c r="B23" s="20" t="n"/>
      <c r="C23" s="20" t="n"/>
      <c r="D23" s="20" t="n"/>
      <c r="E23" s="20" t="n"/>
    </row>
    <row r="24" ht="15.75" customHeight="1" s="27">
      <c r="A24" s="20" t="n"/>
      <c r="B24" s="20" t="n"/>
      <c r="C24" s="20" t="n"/>
      <c r="D24" s="20" t="n"/>
      <c r="E24" s="20" t="n"/>
    </row>
    <row r="25" ht="15.75" customHeight="1" s="27">
      <c r="A25" s="20" t="n"/>
      <c r="B25" s="20" t="n"/>
      <c r="C25" s="20" t="n"/>
      <c r="D25" s="20" t="n"/>
      <c r="E25" s="20" t="n"/>
    </row>
    <row r="26" ht="15.75" customHeight="1" s="27">
      <c r="A26" s="20" t="n"/>
      <c r="B26" s="20" t="n"/>
      <c r="C26" s="20" t="n"/>
      <c r="D26" s="20" t="n"/>
      <c r="E26" s="20" t="n"/>
    </row>
    <row r="27" ht="15.75" customHeight="1" s="27">
      <c r="A27" s="20" t="n"/>
      <c r="B27" s="20" t="n"/>
      <c r="C27" s="20" t="n"/>
      <c r="D27" s="20" t="n"/>
      <c r="E27" s="20" t="n"/>
    </row>
    <row r="28" ht="15.75" customHeight="1" s="27">
      <c r="A28" s="20" t="n"/>
      <c r="B28" s="20" t="n"/>
      <c r="C28" s="20" t="n"/>
      <c r="D28" s="20" t="n"/>
      <c r="E28" s="20" t="n"/>
    </row>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1">
    <mergeCell ref="A1:E1"/>
  </mergeCells>
  <dataValidations count="1">
    <dataValidation sqref="A4:A14" showDropDown="0" showInputMessage="0" showErrorMessage="0" allowBlank="1" type="list">
      <formula1>"Début du projet,Disponibilité générale pour une résidence,Indisponibilité,Date importante,Opportunité de présentation,Date limite de subvention,Autre date limite,Autre (préciser),_"</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2026-10-08T14:34:47Z</dcterms:created>
  <dcterms:modified xsi:type="dcterms:W3CDTF">2026-10-08T14:34:47Z</dcterms:modified>
</cp:coreProperties>
</file>